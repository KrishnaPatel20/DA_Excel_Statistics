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0593f39d272fb1/Desktop/Excel Practice/Project/"/>
    </mc:Choice>
  </mc:AlternateContent>
  <xr:revisionPtr revIDLastSave="29" documentId="8_{76A1977F-6C89-490C-8E52-779DA14791DF}" xr6:coauthVersionLast="47" xr6:coauthVersionMax="47" xr10:uidLastSave="{8DB54C0A-F3CA-4653-A96E-75557A897EB9}"/>
  <bookViews>
    <workbookView xWindow="-108" yWindow="-108" windowWidth="23256" windowHeight="12456" activeTab="1" xr2:uid="{26587142-306D-451C-B555-D90B54BA46A2}"/>
  </bookViews>
  <sheets>
    <sheet name="Date1" sheetId="1" r:id="rId1"/>
    <sheet name="Dat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I18" i="2"/>
  <c r="I17" i="2"/>
  <c r="I16" i="2"/>
  <c r="I15" i="2"/>
  <c r="I14" i="2"/>
  <c r="I13" i="2"/>
  <c r="I12" i="2"/>
  <c r="I11" i="2"/>
  <c r="I10" i="2"/>
  <c r="I9" i="2"/>
  <c r="I8" i="2"/>
  <c r="H7" i="2" l="1"/>
  <c r="H8" i="2"/>
  <c r="H9" i="2"/>
  <c r="H10" i="2"/>
  <c r="H11" i="2"/>
  <c r="H12" i="2"/>
  <c r="H13" i="2"/>
  <c r="H14" i="2"/>
  <c r="H15" i="2"/>
  <c r="H16" i="2"/>
  <c r="H17" i="2"/>
  <c r="H18" i="2"/>
  <c r="F7" i="2" l="1"/>
  <c r="F9" i="2"/>
  <c r="F10" i="2"/>
  <c r="F11" i="2"/>
  <c r="F12" i="2"/>
  <c r="F13" i="2"/>
  <c r="F14" i="2"/>
  <c r="F15" i="2"/>
  <c r="F16" i="2"/>
  <c r="F17" i="2"/>
  <c r="F18" i="2"/>
  <c r="F8" i="2"/>
  <c r="E8" i="2"/>
  <c r="D6" i="1"/>
  <c r="C6" i="1" s="1"/>
  <c r="C7" i="1"/>
  <c r="C8" i="1"/>
  <c r="C9" i="1"/>
  <c r="C10" i="1"/>
  <c r="C11" i="1"/>
  <c r="C12" i="1"/>
  <c r="C13" i="1"/>
  <c r="C14" i="1"/>
  <c r="G7" i="1"/>
  <c r="G8" i="1"/>
  <c r="G9" i="1"/>
  <c r="G10" i="1"/>
  <c r="G11" i="1"/>
  <c r="G12" i="1"/>
  <c r="G13" i="1"/>
  <c r="G14" i="1"/>
  <c r="F6" i="1"/>
  <c r="E6" i="1"/>
  <c r="F8" i="1"/>
  <c r="F9" i="1"/>
  <c r="F10" i="1"/>
  <c r="F11" i="1"/>
  <c r="F12" i="1"/>
  <c r="F13" i="1"/>
  <c r="F14" i="1"/>
  <c r="F7" i="1"/>
  <c r="E8" i="1"/>
  <c r="E9" i="1"/>
  <c r="E10" i="1"/>
  <c r="E11" i="1"/>
  <c r="E12" i="1"/>
  <c r="E13" i="1"/>
  <c r="E14" i="1"/>
  <c r="E7" i="1"/>
  <c r="D7" i="1"/>
  <c r="D8" i="1"/>
  <c r="D9" i="1"/>
  <c r="D10" i="1"/>
  <c r="D11" i="1"/>
  <c r="D12" i="1"/>
  <c r="D13" i="1"/>
  <c r="D14" i="1"/>
  <c r="G8" i="2"/>
  <c r="G9" i="2"/>
  <c r="G10" i="2"/>
  <c r="G11" i="2"/>
  <c r="G12" i="2"/>
  <c r="G13" i="2"/>
  <c r="G14" i="2"/>
  <c r="G15" i="2"/>
  <c r="G16" i="2"/>
  <c r="G17" i="2"/>
  <c r="G18" i="2"/>
  <c r="E9" i="2"/>
  <c r="E10" i="2"/>
  <c r="E11" i="2"/>
  <c r="E12" i="2"/>
  <c r="E13" i="2"/>
  <c r="E14" i="2"/>
  <c r="E15" i="2"/>
  <c r="E16" i="2"/>
  <c r="E17" i="2"/>
  <c r="E18" i="2"/>
  <c r="E7" i="2"/>
  <c r="D8" i="2"/>
  <c r="D9" i="2"/>
  <c r="D10" i="2"/>
  <c r="D11" i="2"/>
  <c r="D12" i="2"/>
  <c r="D13" i="2"/>
  <c r="D14" i="2"/>
  <c r="D15" i="2"/>
  <c r="D16" i="2"/>
  <c r="D17" i="2"/>
  <c r="D18" i="2"/>
  <c r="D7" i="2"/>
  <c r="G7" i="2"/>
  <c r="G6" i="1" l="1"/>
</calcChain>
</file>

<file path=xl/sharedStrings.xml><?xml version="1.0" encoding="utf-8"?>
<sst xmlns="http://schemas.openxmlformats.org/spreadsheetml/2006/main" count="29" uniqueCount="29">
  <si>
    <t>Date (mm/dd/yyyy)</t>
  </si>
  <si>
    <t>Date (yyyymmdd.000)</t>
  </si>
  <si>
    <t>Q. Convert the date from first format to the second format and sort in ascending order.</t>
  </si>
  <si>
    <t>Ashok Samtaney</t>
  </si>
  <si>
    <t>Dhiren Sheth</t>
  </si>
  <si>
    <t>Simon Rodrigues</t>
  </si>
  <si>
    <t>Ruffina Joshi</t>
  </si>
  <si>
    <t>Ram Ambradkar</t>
  </si>
  <si>
    <t>Yogesh Mansharamani</t>
  </si>
  <si>
    <t>Dinesh Dhanuka</t>
  </si>
  <si>
    <t>Yashraj Vaidya</t>
  </si>
  <si>
    <t>Sudesh Pillai</t>
  </si>
  <si>
    <t>Gururaj Joshi</t>
  </si>
  <si>
    <t>Rajeev Singh</t>
  </si>
  <si>
    <t>Boneca Rego</t>
  </si>
  <si>
    <t>Exact Age with Years,Month,days</t>
  </si>
  <si>
    <t>Age(in years)</t>
  </si>
  <si>
    <t>Year</t>
  </si>
  <si>
    <t>Month(in text)</t>
  </si>
  <si>
    <t>Month(in number)</t>
  </si>
  <si>
    <t>Day</t>
  </si>
  <si>
    <t>Birthdate</t>
  </si>
  <si>
    <t>Name</t>
  </si>
  <si>
    <t>Current Time</t>
  </si>
  <si>
    <t>Current Date</t>
  </si>
  <si>
    <t>left</t>
  </si>
  <si>
    <t>mid</t>
  </si>
  <si>
    <t>right</t>
  </si>
  <si>
    <t>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</si>
</sst>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2" borderId="1" xfId="0" applyNumberFormat="1" applyFill="1" applyBorder="1"/>
    <xf numFmtId="0" fontId="0" fillId="3" borderId="2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49" fontId="0" fillId="3" borderId="4" xfId="0" applyNumberFormat="1" applyFill="1" applyBorder="1" applyAlignment="1">
      <alignment horizontal="right"/>
    </xf>
    <xf numFmtId="0" fontId="2" fillId="4" borderId="5" xfId="0" applyFont="1" applyFill="1" applyBorder="1"/>
    <xf numFmtId="0" fontId="3" fillId="0" borderId="0" xfId="0" applyFont="1"/>
    <xf numFmtId="0" fontId="0" fillId="5" borderId="5" xfId="0" applyFill="1" applyBorder="1"/>
    <xf numFmtId="15" fontId="0" fillId="0" borderId="5" xfId="0" applyNumberFormat="1" applyBorder="1" applyAlignment="1">
      <alignment horizontal="center"/>
    </xf>
    <xf numFmtId="0" fontId="0" fillId="0" borderId="5" xfId="0" quotePrefix="1" applyBorder="1"/>
    <xf numFmtId="0" fontId="1" fillId="6" borderId="5" xfId="0" applyFont="1" applyFill="1" applyBorder="1"/>
    <xf numFmtId="14" fontId="0" fillId="5" borderId="5" xfId="0" applyNumberFormat="1" applyFill="1" applyBorder="1"/>
    <xf numFmtId="20" fontId="0" fillId="5" borderId="5" xfId="0" applyNumberFormat="1" applyFill="1" applyBorder="1"/>
    <xf numFmtId="2" fontId="0" fillId="5" borderId="5" xfId="0" applyNumberFormat="1" applyFill="1" applyBorder="1"/>
    <xf numFmtId="0" fontId="0" fillId="5" borderId="5" xfId="0" applyNumberForma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0BC8-8FC6-4D1A-8251-79BA8CD8EF6A}">
  <sheetPr codeName="Sheet1"/>
  <dimension ref="B3:G14"/>
  <sheetViews>
    <sheetView workbookViewId="0">
      <selection activeCell="B29" sqref="B29"/>
    </sheetView>
  </sheetViews>
  <sheetFormatPr defaultRowHeight="14.4" x14ac:dyDescent="0.3"/>
  <cols>
    <col min="2" max="2" width="20.33203125" customWidth="1"/>
    <col min="3" max="3" width="18.33203125" customWidth="1"/>
    <col min="7" max="7" width="11.6640625" customWidth="1"/>
  </cols>
  <sheetData>
    <row r="3" spans="2:7" x14ac:dyDescent="0.3">
      <c r="B3" s="6" t="s">
        <v>2</v>
      </c>
    </row>
    <row r="5" spans="2:7" x14ac:dyDescent="0.3">
      <c r="B5" s="5" t="s">
        <v>1</v>
      </c>
      <c r="C5" s="5" t="s">
        <v>0</v>
      </c>
      <c r="D5" t="s">
        <v>25</v>
      </c>
      <c r="E5" t="s">
        <v>26</v>
      </c>
      <c r="F5" t="s">
        <v>27</v>
      </c>
      <c r="G5" t="s">
        <v>28</v>
      </c>
    </row>
    <row r="6" spans="2:7" x14ac:dyDescent="0.3">
      <c r="B6" s="4">
        <v>20070623</v>
      </c>
      <c r="C6" s="1">
        <f>DATE(D6,E6,F6)</f>
        <v>39256</v>
      </c>
      <c r="D6" t="str">
        <f>LEFT(B6,4)</f>
        <v>2007</v>
      </c>
      <c r="E6" t="str">
        <f>MID(B6,5,2)</f>
        <v>06</v>
      </c>
      <c r="F6" t="str">
        <f>RIGHT(B6,2)</f>
        <v>23</v>
      </c>
      <c r="G6" s="15">
        <f>DATE(D6,E6,F6)</f>
        <v>39256</v>
      </c>
    </row>
    <row r="7" spans="2:7" x14ac:dyDescent="0.3">
      <c r="B7" s="3">
        <v>20070624</v>
      </c>
      <c r="C7" s="1">
        <f t="shared" ref="C7:C14" si="0">DATE(D7,E7,F7)</f>
        <v>39257</v>
      </c>
      <c r="D7" t="str">
        <f>LEFT(B7,4)</f>
        <v>2007</v>
      </c>
      <c r="E7" t="str">
        <f>MID(B7,5,2)</f>
        <v>06</v>
      </c>
      <c r="F7" t="str">
        <f>RIGHT(B7,2)</f>
        <v>24</v>
      </c>
      <c r="G7" s="15">
        <f t="shared" ref="G7:G14" si="1">DATE(D7,E7,F7)</f>
        <v>39257</v>
      </c>
    </row>
    <row r="8" spans="2:7" x14ac:dyDescent="0.3">
      <c r="B8" s="3">
        <v>20070523</v>
      </c>
      <c r="C8" s="1">
        <f t="shared" si="0"/>
        <v>39225</v>
      </c>
      <c r="D8" t="str">
        <f t="shared" ref="D8:D14" si="2">LEFT(B8,4)</f>
        <v>2007</v>
      </c>
      <c r="E8" t="str">
        <f t="shared" ref="E8:E14" si="3">MID(B8,5,2)</f>
        <v>05</v>
      </c>
      <c r="F8" t="str">
        <f t="shared" ref="F8:F14" si="4">RIGHT(B8,2)</f>
        <v>23</v>
      </c>
      <c r="G8" s="15">
        <f t="shared" si="1"/>
        <v>39225</v>
      </c>
    </row>
    <row r="9" spans="2:7" x14ac:dyDescent="0.3">
      <c r="B9" s="3">
        <v>20061202</v>
      </c>
      <c r="C9" s="1">
        <f t="shared" si="0"/>
        <v>39053</v>
      </c>
      <c r="D9" t="str">
        <f t="shared" si="2"/>
        <v>2006</v>
      </c>
      <c r="E9" t="str">
        <f t="shared" si="3"/>
        <v>12</v>
      </c>
      <c r="F9" t="str">
        <f t="shared" si="4"/>
        <v>02</v>
      </c>
      <c r="G9" s="15">
        <f t="shared" si="1"/>
        <v>39053</v>
      </c>
    </row>
    <row r="10" spans="2:7" x14ac:dyDescent="0.3">
      <c r="B10" s="3">
        <v>20070112</v>
      </c>
      <c r="C10" s="1">
        <f t="shared" si="0"/>
        <v>39094</v>
      </c>
      <c r="D10" t="str">
        <f t="shared" si="2"/>
        <v>2007</v>
      </c>
      <c r="E10" t="str">
        <f t="shared" si="3"/>
        <v>01</v>
      </c>
      <c r="F10" t="str">
        <f t="shared" si="4"/>
        <v>12</v>
      </c>
      <c r="G10" s="15">
        <f t="shared" si="1"/>
        <v>39094</v>
      </c>
    </row>
    <row r="11" spans="2:7" x14ac:dyDescent="0.3">
      <c r="B11" s="3">
        <v>20070519</v>
      </c>
      <c r="C11" s="1">
        <f t="shared" si="0"/>
        <v>39221</v>
      </c>
      <c r="D11" t="str">
        <f t="shared" si="2"/>
        <v>2007</v>
      </c>
      <c r="E11" t="str">
        <f t="shared" si="3"/>
        <v>05</v>
      </c>
      <c r="F11" t="str">
        <f t="shared" si="4"/>
        <v>19</v>
      </c>
      <c r="G11" s="15">
        <f t="shared" si="1"/>
        <v>39221</v>
      </c>
    </row>
    <row r="12" spans="2:7" x14ac:dyDescent="0.3">
      <c r="B12" s="3">
        <v>20080419</v>
      </c>
      <c r="C12" s="1">
        <f t="shared" si="0"/>
        <v>39557</v>
      </c>
      <c r="D12" t="str">
        <f t="shared" si="2"/>
        <v>2008</v>
      </c>
      <c r="E12" t="str">
        <f t="shared" si="3"/>
        <v>04</v>
      </c>
      <c r="F12" t="str">
        <f t="shared" si="4"/>
        <v>19</v>
      </c>
      <c r="G12" s="15">
        <f t="shared" si="1"/>
        <v>39557</v>
      </c>
    </row>
    <row r="13" spans="2:7" x14ac:dyDescent="0.3">
      <c r="B13" s="3">
        <v>20071017</v>
      </c>
      <c r="C13" s="1">
        <f t="shared" si="0"/>
        <v>39372</v>
      </c>
      <c r="D13" t="str">
        <f t="shared" si="2"/>
        <v>2007</v>
      </c>
      <c r="E13" t="str">
        <f t="shared" si="3"/>
        <v>10</v>
      </c>
      <c r="F13" t="str">
        <f t="shared" si="4"/>
        <v>17</v>
      </c>
      <c r="G13" s="15">
        <f t="shared" si="1"/>
        <v>39372</v>
      </c>
    </row>
    <row r="14" spans="2:7" x14ac:dyDescent="0.3">
      <c r="B14" s="2">
        <v>20051220</v>
      </c>
      <c r="C14" s="1">
        <f t="shared" si="0"/>
        <v>38706</v>
      </c>
      <c r="D14" t="str">
        <f t="shared" si="2"/>
        <v>2005</v>
      </c>
      <c r="E14" t="str">
        <f t="shared" si="3"/>
        <v>12</v>
      </c>
      <c r="F14" t="str">
        <f t="shared" si="4"/>
        <v>20</v>
      </c>
      <c r="G14" s="15">
        <f t="shared" si="1"/>
        <v>38706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0E64-AC7B-4EC6-BC67-7B89C89C94B7}">
  <sheetPr codeName="Sheet2"/>
  <dimension ref="B3:I18"/>
  <sheetViews>
    <sheetView tabSelected="1" workbookViewId="0">
      <selection activeCell="I8" sqref="I8"/>
    </sheetView>
  </sheetViews>
  <sheetFormatPr defaultRowHeight="14.4" x14ac:dyDescent="0.3"/>
  <cols>
    <col min="2" max="2" width="19.5546875" bestFit="1" customWidth="1"/>
    <col min="3" max="3" width="10.6640625" customWidth="1"/>
    <col min="5" max="5" width="15.6640625" bestFit="1" customWidth="1"/>
    <col min="6" max="6" width="16.6640625" bestFit="1" customWidth="1"/>
    <col min="7" max="7" width="10.44140625" bestFit="1" customWidth="1"/>
    <col min="8" max="8" width="12" bestFit="1" customWidth="1"/>
    <col min="9" max="9" width="34.21875" customWidth="1"/>
  </cols>
  <sheetData>
    <row r="3" spans="2:9" x14ac:dyDescent="0.3">
      <c r="B3" s="10" t="s">
        <v>24</v>
      </c>
      <c r="C3" s="11">
        <v>45853</v>
      </c>
    </row>
    <row r="4" spans="2:9" x14ac:dyDescent="0.3">
      <c r="B4" s="10" t="s">
        <v>23</v>
      </c>
      <c r="C4" s="12">
        <v>0.16875000000000001</v>
      </c>
    </row>
    <row r="6" spans="2:9" x14ac:dyDescent="0.3">
      <c r="B6" s="10" t="s">
        <v>22</v>
      </c>
      <c r="C6" s="10" t="s">
        <v>21</v>
      </c>
      <c r="D6" s="10" t="s">
        <v>20</v>
      </c>
      <c r="E6" s="10" t="s">
        <v>19</v>
      </c>
      <c r="F6" s="10" t="s">
        <v>18</v>
      </c>
      <c r="G6" s="10" t="s">
        <v>17</v>
      </c>
      <c r="H6" s="10" t="s">
        <v>16</v>
      </c>
      <c r="I6" s="10" t="s">
        <v>15</v>
      </c>
    </row>
    <row r="7" spans="2:9" x14ac:dyDescent="0.3">
      <c r="B7" s="9" t="s">
        <v>14</v>
      </c>
      <c r="C7" s="8">
        <v>36478</v>
      </c>
      <c r="D7" s="7">
        <f>DAY(C7)</f>
        <v>14</v>
      </c>
      <c r="E7" s="14">
        <f>MONTH(C7)</f>
        <v>11</v>
      </c>
      <c r="F7" s="7" t="str">
        <f>TEXT(C7,"mmmm")</f>
        <v>November</v>
      </c>
      <c r="G7" s="7">
        <f>YEAR(C7)</f>
        <v>1999</v>
      </c>
      <c r="H7" s="7">
        <f ca="1">INT(YEARFRAC(C7,TODAY(),1))</f>
        <v>25</v>
      </c>
      <c r="I7" s="7" t="str">
        <f>DATEDIF(C7, C3, "y") &amp; " Years, " &amp; DATEDIF(C7, C3, "ym") &amp; " Months, " &amp; DATEDIF(C7, C3, "md") &amp; " Days"</f>
        <v>25 Years, 8 Months, 1 Days</v>
      </c>
    </row>
    <row r="8" spans="2:9" x14ac:dyDescent="0.3">
      <c r="B8" s="9" t="s">
        <v>13</v>
      </c>
      <c r="C8" s="8">
        <v>37027</v>
      </c>
      <c r="D8" s="7">
        <f t="shared" ref="D8:D18" si="0">DAY(C8)</f>
        <v>16</v>
      </c>
      <c r="E8" s="14">
        <f t="shared" ref="E8:E18" si="1">MONTH(C8)</f>
        <v>5</v>
      </c>
      <c r="F8" s="13" t="str">
        <f>TEXT(C8,"mmmm")</f>
        <v>May</v>
      </c>
      <c r="G8" s="7">
        <f t="shared" ref="G8:G18" si="2">YEAR(C8)</f>
        <v>2001</v>
      </c>
      <c r="H8" s="7">
        <f t="shared" ref="H8:H18" ca="1" si="3">INT(YEARFRAC(C8,TODAY(),1))</f>
        <v>24</v>
      </c>
      <c r="I8" s="7" t="str">
        <f>DATEDIF(C8, C3, "y") &amp; " Years, " &amp; DATEDIF(C8, C3, "ym") &amp; " Months, " &amp; DATEDIF(C8, C3, "md") &amp; " Days"</f>
        <v>24 Years, 1 Months, 29 Days</v>
      </c>
    </row>
    <row r="9" spans="2:9" x14ac:dyDescent="0.3">
      <c r="B9" s="9" t="s">
        <v>12</v>
      </c>
      <c r="C9" s="8">
        <v>37946</v>
      </c>
      <c r="D9" s="7">
        <f t="shared" si="0"/>
        <v>21</v>
      </c>
      <c r="E9" s="14">
        <f t="shared" si="1"/>
        <v>11</v>
      </c>
      <c r="F9" s="13" t="str">
        <f t="shared" ref="F9:F18" si="4">TEXT(C9,"mmmm")</f>
        <v>November</v>
      </c>
      <c r="G9" s="7">
        <f t="shared" si="2"/>
        <v>2003</v>
      </c>
      <c r="H9" s="7">
        <f t="shared" ca="1" si="3"/>
        <v>21</v>
      </c>
      <c r="I9" s="7" t="str">
        <f>DATEDIF(C9, C3, "y") &amp; " Years, " &amp; DATEDIF(C9, C3, "ym") &amp; " Months, " &amp; DATEDIF(C9, C3, "md") &amp; " Days"</f>
        <v>21 Years, 7 Months, 24 Days</v>
      </c>
    </row>
    <row r="10" spans="2:9" x14ac:dyDescent="0.3">
      <c r="B10" s="9" t="s">
        <v>11</v>
      </c>
      <c r="C10" s="8">
        <v>38113</v>
      </c>
      <c r="D10" s="7">
        <f t="shared" si="0"/>
        <v>6</v>
      </c>
      <c r="E10" s="14">
        <f t="shared" si="1"/>
        <v>5</v>
      </c>
      <c r="F10" s="13" t="str">
        <f t="shared" si="4"/>
        <v>May</v>
      </c>
      <c r="G10" s="7">
        <f t="shared" si="2"/>
        <v>2004</v>
      </c>
      <c r="H10" s="7">
        <f t="shared" ca="1" si="3"/>
        <v>21</v>
      </c>
      <c r="I10" s="7" t="str">
        <f>DATEDIF(C10, C3, "y") &amp; " Years, " &amp; DATEDIF(C10, C3, "ym") &amp; " Months, " &amp; DATEDIF(C10, C3, "md") &amp; " Days"</f>
        <v>21 Years, 2 Months, 9 Days</v>
      </c>
    </row>
    <row r="11" spans="2:9" x14ac:dyDescent="0.3">
      <c r="B11" s="9" t="s">
        <v>10</v>
      </c>
      <c r="C11" s="8">
        <v>38449</v>
      </c>
      <c r="D11" s="7">
        <f t="shared" si="0"/>
        <v>7</v>
      </c>
      <c r="E11" s="14">
        <f t="shared" si="1"/>
        <v>4</v>
      </c>
      <c r="F11" s="13" t="str">
        <f t="shared" si="4"/>
        <v>April</v>
      </c>
      <c r="G11" s="7">
        <f t="shared" si="2"/>
        <v>2005</v>
      </c>
      <c r="H11" s="7">
        <f t="shared" ca="1" si="3"/>
        <v>20</v>
      </c>
      <c r="I11" s="7" t="str">
        <f>DATEDIF(C11, C3, "y") &amp; " Years, " &amp; DATEDIF(C11, C3, "ym") &amp; " Months, " &amp; DATEDIF(C11, C3, "md") &amp; " Days"</f>
        <v>20 Years, 3 Months, 8 Days</v>
      </c>
    </row>
    <row r="12" spans="2:9" x14ac:dyDescent="0.3">
      <c r="B12" s="9" t="s">
        <v>9</v>
      </c>
      <c r="C12" s="8">
        <v>39846</v>
      </c>
      <c r="D12" s="7">
        <f t="shared" si="0"/>
        <v>2</v>
      </c>
      <c r="E12" s="14">
        <f t="shared" si="1"/>
        <v>2</v>
      </c>
      <c r="F12" s="13" t="str">
        <f t="shared" si="4"/>
        <v>February</v>
      </c>
      <c r="G12" s="7">
        <f t="shared" si="2"/>
        <v>2009</v>
      </c>
      <c r="H12" s="7">
        <f t="shared" ca="1" si="3"/>
        <v>16</v>
      </c>
      <c r="I12" s="7" t="str">
        <f>DATEDIF(C12, C3, "y") &amp; " Years, " &amp; DATEDIF(C12, C3, "ym") &amp; " Months, " &amp; DATEDIF(C12, C3, "md") &amp; " Days"</f>
        <v>16 Years, 5 Months, 13 Days</v>
      </c>
    </row>
    <row r="13" spans="2:9" x14ac:dyDescent="0.3">
      <c r="B13" s="9" t="s">
        <v>8</v>
      </c>
      <c r="C13" s="8">
        <v>40330</v>
      </c>
      <c r="D13" s="7">
        <f t="shared" si="0"/>
        <v>1</v>
      </c>
      <c r="E13" s="14">
        <f t="shared" si="1"/>
        <v>6</v>
      </c>
      <c r="F13" s="13" t="str">
        <f t="shared" si="4"/>
        <v>June</v>
      </c>
      <c r="G13" s="7">
        <f t="shared" si="2"/>
        <v>2010</v>
      </c>
      <c r="H13" s="7">
        <f t="shared" ca="1" si="3"/>
        <v>15</v>
      </c>
      <c r="I13" s="7" t="str">
        <f>DATEDIF(C13, C3, "y") &amp; " Years, " &amp; DATEDIF(C13, C3, "ym") &amp; " Months, " &amp; DATEDIF(C13, C3, "md") &amp; " Days"</f>
        <v>15 Years, 1 Months, 14 Days</v>
      </c>
    </row>
    <row r="14" spans="2:9" x14ac:dyDescent="0.3">
      <c r="B14" s="9" t="s">
        <v>7</v>
      </c>
      <c r="C14" s="8">
        <v>40495</v>
      </c>
      <c r="D14" s="7">
        <f t="shared" si="0"/>
        <v>13</v>
      </c>
      <c r="E14" s="14">
        <f t="shared" si="1"/>
        <v>11</v>
      </c>
      <c r="F14" s="13" t="str">
        <f t="shared" si="4"/>
        <v>November</v>
      </c>
      <c r="G14" s="7">
        <f t="shared" si="2"/>
        <v>2010</v>
      </c>
      <c r="H14" s="7">
        <f t="shared" ca="1" si="3"/>
        <v>15</v>
      </c>
      <c r="I14" s="7" t="str">
        <f>DATEDIF(C14, C3, "y") &amp; " Years, " &amp; DATEDIF(C14, C3, "ym") &amp; " Months, " &amp; DATEDIF(C14, C3, "md") &amp; " Days"</f>
        <v>14 Years, 8 Months, 2 Days</v>
      </c>
    </row>
    <row r="15" spans="2:9" x14ac:dyDescent="0.3">
      <c r="B15" s="9" t="s">
        <v>6</v>
      </c>
      <c r="C15" s="8">
        <v>40574</v>
      </c>
      <c r="D15" s="7">
        <f t="shared" si="0"/>
        <v>31</v>
      </c>
      <c r="E15" s="14">
        <f t="shared" si="1"/>
        <v>1</v>
      </c>
      <c r="F15" s="13" t="str">
        <f t="shared" si="4"/>
        <v>January</v>
      </c>
      <c r="G15" s="7">
        <f t="shared" si="2"/>
        <v>2011</v>
      </c>
      <c r="H15" s="7">
        <f t="shared" ca="1" si="3"/>
        <v>14</v>
      </c>
      <c r="I15" s="7" t="str">
        <f>DATEDIF(C15, C3, "y") &amp; " Years, " &amp; DATEDIF(C15, C3, "ym") &amp; " Months, " &amp; DATEDIF(C15, C3, "md") &amp; " Days"</f>
        <v>14 Years, 5 Months, 14 Days</v>
      </c>
    </row>
    <row r="16" spans="2:9" x14ac:dyDescent="0.3">
      <c r="B16" s="9" t="s">
        <v>5</v>
      </c>
      <c r="C16" s="8">
        <v>41400</v>
      </c>
      <c r="D16" s="7">
        <f t="shared" si="0"/>
        <v>6</v>
      </c>
      <c r="E16" s="14">
        <f t="shared" si="1"/>
        <v>5</v>
      </c>
      <c r="F16" s="13" t="str">
        <f t="shared" si="4"/>
        <v>May</v>
      </c>
      <c r="G16" s="7">
        <f t="shared" si="2"/>
        <v>2013</v>
      </c>
      <c r="H16" s="7">
        <f t="shared" ca="1" si="3"/>
        <v>12</v>
      </c>
      <c r="I16" s="7" t="str">
        <f>DATEDIF(C16, C3, "y") &amp; " Years, " &amp; DATEDIF(C16, C3, "ym") &amp; " Months, " &amp; DATEDIF(C16, C3, "md") &amp; " Days"</f>
        <v>12 Years, 2 Months, 9 Days</v>
      </c>
    </row>
    <row r="17" spans="2:9" x14ac:dyDescent="0.3">
      <c r="B17" s="9" t="s">
        <v>4</v>
      </c>
      <c r="C17" s="8">
        <v>42027</v>
      </c>
      <c r="D17" s="7">
        <f t="shared" si="0"/>
        <v>23</v>
      </c>
      <c r="E17" s="14">
        <f t="shared" si="1"/>
        <v>1</v>
      </c>
      <c r="F17" s="13" t="str">
        <f t="shared" si="4"/>
        <v>January</v>
      </c>
      <c r="G17" s="7">
        <f t="shared" si="2"/>
        <v>2015</v>
      </c>
      <c r="H17" s="7">
        <f t="shared" ca="1" si="3"/>
        <v>10</v>
      </c>
      <c r="I17" s="7" t="str">
        <f>DATEDIF(C17, C3, "y") &amp; " Years, " &amp; DATEDIF(C17, C3, "ym") &amp; " Months, " &amp; DATEDIF(C17, C3, "md") &amp; " Days"</f>
        <v>10 Years, 5 Months, 22 Days</v>
      </c>
    </row>
    <row r="18" spans="2:9" x14ac:dyDescent="0.3">
      <c r="B18" s="9" t="s">
        <v>3</v>
      </c>
      <c r="C18" s="8">
        <v>42124</v>
      </c>
      <c r="D18" s="7">
        <f t="shared" si="0"/>
        <v>30</v>
      </c>
      <c r="E18" s="14">
        <f t="shared" si="1"/>
        <v>4</v>
      </c>
      <c r="F18" s="13" t="str">
        <f t="shared" si="4"/>
        <v>April</v>
      </c>
      <c r="G18" s="7">
        <f t="shared" si="2"/>
        <v>2015</v>
      </c>
      <c r="H18" s="7">
        <f t="shared" ca="1" si="3"/>
        <v>10</v>
      </c>
      <c r="I18" s="7" t="str">
        <f>DATEDIF(C18, C3, "y") &amp; " Years, " &amp; DATEDIF(C18, C3, "ym") &amp; " Months, " &amp; DATEDIF(C18, C3, "md") &amp; " Days"</f>
        <v>10 Years, 2 Months, 15 Days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Date1</vt:lpstr>
      <vt:lpstr>Date2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Krishna Patel</cp:lastModifiedBy>
  <dcterms:created xsi:type="dcterms:W3CDTF">2022-07-28T07:24:11Z</dcterms:created>
  <dcterms:modified xsi:type="dcterms:W3CDTF">2025-11-13T13:12:43Z</dcterms:modified>
</cp:coreProperties>
</file>